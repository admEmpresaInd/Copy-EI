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ção" sheetId="1" r:id="rId5"/>
  </sheets>
  <definedNames/>
  <calcPr/>
</workbook>
</file>

<file path=xl/sharedStrings.xml><?xml version="1.0" encoding="utf-8"?>
<sst xmlns="http://schemas.openxmlformats.org/spreadsheetml/2006/main" count="62" uniqueCount="36">
  <si>
    <t>Informações</t>
  </si>
  <si>
    <t>Tempo em Meses do projeto</t>
  </si>
  <si>
    <t>Cota Miníma</t>
  </si>
  <si>
    <t>Meta Captação</t>
  </si>
  <si>
    <t>M2= Metro Quadrado</t>
  </si>
  <si>
    <t>Cotas disponíveis</t>
  </si>
  <si>
    <t>Pacotes ➡️</t>
  </si>
  <si>
    <t>EXPLORER</t>
  </si>
  <si>
    <t>FOUNDER</t>
  </si>
  <si>
    <t>LEGACY</t>
  </si>
  <si>
    <t>M2</t>
  </si>
  <si>
    <t>Cotas</t>
  </si>
  <si>
    <t>VPL</t>
  </si>
  <si>
    <t>Investimento</t>
  </si>
  <si>
    <t>Casa</t>
  </si>
  <si>
    <t>Apartamento</t>
  </si>
  <si>
    <t>Retorno [A] 0%</t>
  </si>
  <si>
    <t xml:space="preserve">Retorno [B]
IPCA 9,06% </t>
  </si>
  <si>
    <t>Retorno [C]
Valorização Média Aracaju 13,8% a.a</t>
  </si>
  <si>
    <t>VPL Hoje</t>
  </si>
  <si>
    <t>Valor</t>
  </si>
  <si>
    <t>⭐️ VPL 
Mercado</t>
  </si>
  <si>
    <t>Valor Futuro</t>
  </si>
  <si>
    <t>Média TOTAL %</t>
  </si>
  <si>
    <t>Média MÊS %</t>
  </si>
  <si>
    <t>Cenário A</t>
  </si>
  <si>
    <t>Retorno [A]</t>
  </si>
  <si>
    <t xml:space="preserve">VPL </t>
  </si>
  <si>
    <t>Inflação</t>
  </si>
  <si>
    <t>Valorização Média</t>
  </si>
  <si>
    <t>Tabela Retorno</t>
  </si>
  <si>
    <t>Retorno [B]</t>
  </si>
  <si>
    <t>Retorno [C]</t>
  </si>
  <si>
    <t>Total</t>
  </si>
  <si>
    <t>Ano</t>
  </si>
  <si>
    <t>Mês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</si>
</sst>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right" readingOrder="0" vertical="center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horizontal="right" readingOrder="0"/>
    </xf>
    <xf borderId="0" fillId="3" fontId="1" numFmtId="2" xfId="0" applyAlignment="1" applyFont="1" applyNumberFormat="1">
      <alignment horizontal="center" readingOrder="0"/>
    </xf>
    <xf borderId="0" fillId="3" fontId="1" numFmtId="2" xfId="0" applyAlignment="1" applyFont="1" applyNumberFormat="1">
      <alignment horizontal="center"/>
    </xf>
    <xf borderId="0" fillId="4" fontId="1" numFmtId="0" xfId="0" applyAlignment="1" applyFill="1" applyFont="1">
      <alignment horizontal="right" readingOrder="0" vertical="center"/>
    </xf>
    <xf borderId="0" fillId="4" fontId="1" numFmtId="0" xfId="0" applyAlignment="1" applyFont="1">
      <alignment horizontal="center" readingOrder="0"/>
    </xf>
    <xf borderId="0" fillId="5" fontId="1" numFmtId="0" xfId="0" applyAlignment="1" applyFill="1" applyFont="1">
      <alignment horizontal="right" readingOrder="0" vertical="center"/>
    </xf>
    <xf borderId="0" fillId="5" fontId="1" numFmtId="164" xfId="0" applyAlignment="1" applyFont="1" applyNumberFormat="1">
      <alignment horizontal="center" readingOrder="0"/>
    </xf>
    <xf borderId="0" fillId="6" fontId="2" numFmtId="0" xfId="0" applyAlignment="1" applyFill="1" applyFont="1">
      <alignment horizontal="right" readingOrder="0" vertical="center"/>
    </xf>
    <xf borderId="0" fillId="6" fontId="2" numFmtId="164" xfId="0" applyAlignment="1" applyFont="1" applyNumberFormat="1">
      <alignment horizontal="center" readingOrder="0"/>
    </xf>
    <xf borderId="0" fillId="7" fontId="2" numFmtId="0" xfId="0" applyAlignment="1" applyFill="1" applyFont="1">
      <alignment horizontal="right" readingOrder="0" vertical="center"/>
    </xf>
    <xf borderId="0" fillId="7" fontId="2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8" fontId="2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horizontal="center" readingOrder="0" vertical="center"/>
    </xf>
    <xf borderId="0" fillId="6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/>
    </xf>
    <xf borderId="0" fillId="10" fontId="1" numFmtId="164" xfId="0" applyAlignment="1" applyFill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11" fontId="3" numFmtId="0" xfId="0" applyAlignment="1" applyFill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12" fontId="1" numFmtId="0" xfId="0" applyAlignment="1" applyFill="1" applyFont="1">
      <alignment horizontal="center"/>
    </xf>
    <xf borderId="0" fillId="12" fontId="1" numFmtId="164" xfId="0" applyAlignment="1" applyFont="1" applyNumberFormat="1">
      <alignment horizontal="center"/>
    </xf>
    <xf borderId="0" fillId="8" fontId="1" numFmtId="164" xfId="0" applyAlignment="1" applyFont="1" applyNumberFormat="1">
      <alignment horizontal="center"/>
    </xf>
    <xf borderId="0" fillId="8" fontId="1" numFmtId="10" xfId="0" applyAlignment="1" applyFont="1" applyNumberFormat="1">
      <alignment horizontal="center"/>
    </xf>
    <xf borderId="0" fillId="5" fontId="1" numFmtId="164" xfId="0" applyAlignment="1" applyFont="1" applyNumberFormat="1">
      <alignment horizontal="center"/>
    </xf>
    <xf borderId="0" fillId="5" fontId="1" numFmtId="10" xfId="0" applyAlignment="1" applyFont="1" applyNumberFormat="1">
      <alignment horizontal="center"/>
    </xf>
    <xf borderId="0" fillId="6" fontId="1" numFmtId="164" xfId="0" applyAlignment="1" applyFont="1" applyNumberFormat="1">
      <alignment horizontal="center"/>
    </xf>
    <xf borderId="0" fillId="6" fontId="1" numFmtId="10" xfId="0" applyAlignment="1" applyFont="1" applyNumberFormat="1">
      <alignment horizontal="center"/>
    </xf>
    <xf borderId="0" fillId="10" fontId="1" numFmtId="0" xfId="0" applyAlignment="1" applyFont="1">
      <alignment horizontal="center"/>
    </xf>
    <xf borderId="0" fillId="13" fontId="1" numFmtId="0" xfId="0" applyAlignment="1" applyFill="1" applyFont="1">
      <alignment horizontal="center"/>
    </xf>
    <xf borderId="0" fillId="13" fontId="1" numFmtId="164" xfId="0" applyAlignment="1" applyFont="1" applyNumberFormat="1">
      <alignment horizontal="center"/>
    </xf>
    <xf borderId="0" fillId="14" fontId="1" numFmtId="0" xfId="0" applyAlignment="1" applyFill="1" applyFont="1">
      <alignment horizontal="center"/>
    </xf>
    <xf borderId="0" fillId="14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75"/>
    <col customWidth="1" min="2" max="2" width="24.13"/>
    <col customWidth="1" min="3" max="3" width="17.5"/>
    <col customWidth="1" min="4" max="4" width="15.25"/>
    <col customWidth="1" min="5" max="5" width="17.5"/>
    <col customWidth="1" min="6" max="6" width="5.75"/>
    <col customWidth="1" min="7" max="7" width="17.38"/>
    <col customWidth="1" min="8" max="8" width="15.13"/>
    <col customWidth="1" min="9" max="9" width="15.0"/>
    <col customWidth="1" min="10" max="10" width="11.75"/>
    <col customWidth="1" min="11" max="11" width="17.75"/>
    <col customWidth="1" min="12" max="12" width="16.38"/>
    <col customWidth="1" min="13" max="13" width="17.25"/>
    <col customWidth="1" min="14" max="14" width="13.5"/>
    <col customWidth="1" min="15" max="15" width="16.63"/>
    <col customWidth="1" min="16" max="16" width="9.75"/>
    <col customWidth="1" min="18" max="18" width="16.88"/>
  </cols>
  <sheetData>
    <row r="2" ht="31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outlineLevel="1">
      <c r="B3" s="3" t="s">
        <v>1</v>
      </c>
      <c r="C3" s="4">
        <f>36+12</f>
        <v>48</v>
      </c>
      <c r="D3" s="4">
        <f>C3/12</f>
        <v>4</v>
      </c>
    </row>
    <row r="4" outlineLevel="1">
      <c r="B4" s="3" t="s">
        <v>2</v>
      </c>
      <c r="C4" s="5">
        <v>300000.0</v>
      </c>
    </row>
    <row r="5" outlineLevel="1">
      <c r="B5" s="3" t="s">
        <v>3</v>
      </c>
      <c r="C5" s="5">
        <v>2.0E7</v>
      </c>
    </row>
    <row r="6" outlineLevel="1">
      <c r="B6" s="3" t="s">
        <v>4</v>
      </c>
      <c r="C6" s="6">
        <v>54.57</v>
      </c>
    </row>
    <row r="7" outlineLevel="1">
      <c r="C7" s="6"/>
      <c r="D7" s="6"/>
      <c r="E7" s="6"/>
    </row>
    <row r="8" outlineLevel="1">
      <c r="B8" s="3" t="s">
        <v>5</v>
      </c>
      <c r="C8" s="7">
        <f t="shared" ref="C8:E8" si="1">$C$5/C11</f>
        <v>366516.6667</v>
      </c>
      <c r="D8" s="7">
        <f t="shared" si="1"/>
        <v>299850</v>
      </c>
      <c r="E8" s="7">
        <f t="shared" si="1"/>
        <v>266666.6667</v>
      </c>
    </row>
    <row r="9" outlineLevel="1">
      <c r="B9" s="8"/>
      <c r="C9" s="6"/>
      <c r="D9" s="6"/>
      <c r="E9" s="6"/>
    </row>
    <row r="10" outlineLevel="1">
      <c r="B10" s="9" t="s">
        <v>6</v>
      </c>
      <c r="C10" s="10" t="s">
        <v>7</v>
      </c>
      <c r="D10" s="10" t="s">
        <v>8</v>
      </c>
      <c r="E10" s="10" t="s">
        <v>9</v>
      </c>
    </row>
    <row r="11" outlineLevel="1">
      <c r="B11" s="11" t="s">
        <v>10</v>
      </c>
      <c r="C11" s="12">
        <f>C4/C13</f>
        <v>54.56777773</v>
      </c>
      <c r="D11" s="13">
        <f>C4/D13</f>
        <v>66.70001668</v>
      </c>
      <c r="E11" s="13">
        <f>C4/E13</f>
        <v>75</v>
      </c>
    </row>
    <row r="12" outlineLevel="1">
      <c r="B12" s="14" t="s">
        <v>11</v>
      </c>
      <c r="C12" s="15">
        <v>1.0</v>
      </c>
      <c r="D12" s="15">
        <v>4.0</v>
      </c>
      <c r="E12" s="15">
        <v>7.0</v>
      </c>
    </row>
    <row r="13" outlineLevel="1">
      <c r="B13" s="16" t="s">
        <v>12</v>
      </c>
      <c r="C13" s="17">
        <v>5497.75</v>
      </c>
      <c r="D13" s="17">
        <v>4497.75</v>
      </c>
      <c r="E13" s="17">
        <v>4000.0</v>
      </c>
    </row>
    <row r="14" outlineLevel="1">
      <c r="B14" s="18" t="s">
        <v>13</v>
      </c>
      <c r="C14" s="19">
        <f>E35</f>
        <v>300000</v>
      </c>
      <c r="D14" s="19">
        <f>E36</f>
        <v>1200000</v>
      </c>
      <c r="E14" s="19">
        <f>E37</f>
        <v>2100000</v>
      </c>
    </row>
    <row r="15" outlineLevel="1">
      <c r="B15" s="20"/>
      <c r="C15" s="21"/>
      <c r="D15" s="21"/>
      <c r="E15" s="21"/>
    </row>
    <row r="16" outlineLevel="1"/>
    <row r="17" outlineLevel="1">
      <c r="C17" s="5">
        <v>300000.0</v>
      </c>
      <c r="D17" s="5">
        <v>1200000.0</v>
      </c>
      <c r="E17" s="5">
        <v>2100000.0</v>
      </c>
    </row>
    <row r="18" outlineLevel="1">
      <c r="B18" s="3" t="s">
        <v>5</v>
      </c>
      <c r="C18" s="22">
        <f t="shared" ref="C18:E18" si="2">$C$5/C17</f>
        <v>66.66666667</v>
      </c>
      <c r="D18" s="22">
        <f t="shared" si="2"/>
        <v>16.66666667</v>
      </c>
      <c r="E18" s="22">
        <f t="shared" si="2"/>
        <v>9.523809524</v>
      </c>
    </row>
    <row r="19" outlineLevel="1">
      <c r="B19" s="3"/>
      <c r="C19" s="22"/>
      <c r="D19" s="22"/>
      <c r="E19" s="22"/>
    </row>
    <row r="20" outlineLevel="1">
      <c r="B20" s="3"/>
      <c r="C20" s="22"/>
      <c r="D20" s="22"/>
      <c r="E20" s="22"/>
    </row>
    <row r="21" outlineLevel="1">
      <c r="C21" s="23"/>
    </row>
    <row r="22" hidden="1" outlineLevel="1"/>
    <row r="23" hidden="1" outlineLevel="1"/>
    <row r="24" hidden="1" outlineLevel="1"/>
    <row r="25" hidden="1" outlineLevel="1">
      <c r="E25" s="24">
        <f>E8*E13</f>
        <v>1066666667</v>
      </c>
    </row>
    <row r="26" hidden="1" outlineLevel="1">
      <c r="B26" s="3" t="s">
        <v>14</v>
      </c>
      <c r="C26" s="6"/>
      <c r="D26" s="25">
        <f t="shared" ref="D26:D27" si="3">C26/$C$6</f>
        <v>0</v>
      </c>
    </row>
    <row r="27" hidden="1" outlineLevel="1">
      <c r="B27" s="3" t="s">
        <v>15</v>
      </c>
      <c r="C27" s="6"/>
      <c r="D27" s="25">
        <f t="shared" si="3"/>
        <v>0</v>
      </c>
    </row>
    <row r="28" hidden="1" outlineLevel="1"/>
    <row r="29" hidden="1" outlineLevel="1">
      <c r="B29" s="3" t="s">
        <v>10</v>
      </c>
      <c r="C29" s="6"/>
      <c r="D29" s="4">
        <f>C29*C6</f>
        <v>0</v>
      </c>
    </row>
    <row r="30" outlineLevel="1">
      <c r="C30" s="6"/>
    </row>
    <row r="31" outlineLevel="1"/>
    <row r="33" ht="57.0" customHeight="1">
      <c r="G33" s="26" t="s">
        <v>16</v>
      </c>
      <c r="L33" s="27" t="s">
        <v>17</v>
      </c>
      <c r="Q33" s="28" t="s">
        <v>18</v>
      </c>
    </row>
    <row r="34">
      <c r="B34" s="29" t="s">
        <v>11</v>
      </c>
      <c r="C34" s="29" t="s">
        <v>10</v>
      </c>
      <c r="D34" s="29" t="s">
        <v>19</v>
      </c>
      <c r="E34" s="29" t="s">
        <v>20</v>
      </c>
      <c r="F34" s="10" t="s">
        <v>10</v>
      </c>
      <c r="G34" s="29" t="s">
        <v>21</v>
      </c>
      <c r="H34" s="10" t="s">
        <v>22</v>
      </c>
      <c r="I34" s="10" t="s">
        <v>23</v>
      </c>
      <c r="J34" s="10" t="s">
        <v>24</v>
      </c>
      <c r="K34" s="4"/>
      <c r="L34" s="29" t="s">
        <v>21</v>
      </c>
      <c r="M34" s="10" t="s">
        <v>22</v>
      </c>
      <c r="N34" s="10" t="s">
        <v>23</v>
      </c>
      <c r="O34" s="10" t="s">
        <v>24</v>
      </c>
      <c r="P34" s="4"/>
      <c r="Q34" s="29" t="s">
        <v>21</v>
      </c>
      <c r="R34" s="10" t="s">
        <v>22</v>
      </c>
      <c r="S34" s="10" t="s">
        <v>23</v>
      </c>
      <c r="T34" s="10" t="s">
        <v>24</v>
      </c>
    </row>
    <row r="35">
      <c r="B35" s="6">
        <v>1.0</v>
      </c>
      <c r="C35" s="6">
        <f>B35*C11</f>
        <v>54.56777773</v>
      </c>
      <c r="D35" s="30">
        <f>C13</f>
        <v>5497.75</v>
      </c>
      <c r="E35" s="5">
        <f t="shared" ref="E35:E38" si="4">C35*D35</f>
        <v>300000</v>
      </c>
      <c r="F35" s="6">
        <v>54.57</v>
      </c>
      <c r="G35" s="5">
        <v>12000.0</v>
      </c>
      <c r="H35" s="31">
        <f>$C$35*G35</f>
        <v>654813.3327</v>
      </c>
      <c r="I35" s="32">
        <f>H35/$E$35 -1</f>
        <v>1.182711109</v>
      </c>
      <c r="J35" s="32">
        <f t="shared" ref="J35:J38" si="5">I35/$C$3</f>
        <v>0.02463981477</v>
      </c>
      <c r="K35" s="4"/>
      <c r="L35" s="5">
        <v>17315.04</v>
      </c>
      <c r="M35" s="31">
        <f>$C$35*L35</f>
        <v>944843.2541</v>
      </c>
      <c r="N35" s="32">
        <f>M35/$E$35 -1</f>
        <v>2.149477514</v>
      </c>
      <c r="O35" s="32">
        <f t="shared" ref="O35:O38" si="6">N35/$C$3</f>
        <v>0.04478078153</v>
      </c>
      <c r="P35" s="4"/>
      <c r="Q35" s="5">
        <v>20125.67</v>
      </c>
      <c r="R35" s="31">
        <f>$C$35*Q35</f>
        <v>1098213.087</v>
      </c>
      <c r="S35" s="32">
        <f>R35/$E$35 -1</f>
        <v>2.660710291</v>
      </c>
      <c r="T35" s="32">
        <f t="shared" ref="T35:T38" si="7">S35/$C$3</f>
        <v>0.05543146439</v>
      </c>
    </row>
    <row r="36">
      <c r="B36" s="6">
        <v>4.0</v>
      </c>
      <c r="C36" s="6">
        <f>B36*D11</f>
        <v>266.8000667</v>
      </c>
      <c r="D36" s="30">
        <f>D13</f>
        <v>4497.75</v>
      </c>
      <c r="E36" s="5">
        <f t="shared" si="4"/>
        <v>1200000</v>
      </c>
      <c r="F36" s="6">
        <v>66.7</v>
      </c>
      <c r="G36" s="5">
        <v>12000.0</v>
      </c>
      <c r="H36" s="31">
        <f>$C$36*G36</f>
        <v>3201600.8</v>
      </c>
      <c r="I36" s="32">
        <f>H36/$E$36 -1</f>
        <v>1.668000667</v>
      </c>
      <c r="J36" s="32">
        <f t="shared" si="5"/>
        <v>0.0347500139</v>
      </c>
      <c r="K36" s="4"/>
      <c r="L36" s="5">
        <v>17315.04</v>
      </c>
      <c r="M36" s="31">
        <f>$C$36*L36</f>
        <v>4619653.827</v>
      </c>
      <c r="N36" s="32">
        <f>M36/$E$36 -1</f>
        <v>2.849711522</v>
      </c>
      <c r="O36" s="32">
        <f t="shared" si="6"/>
        <v>0.05936899005</v>
      </c>
      <c r="P36" s="4"/>
      <c r="Q36" s="5">
        <v>20125.67</v>
      </c>
      <c r="R36" s="31">
        <f>$C$36*Q36</f>
        <v>5369530.098</v>
      </c>
      <c r="S36" s="32">
        <f>R36/$E$36 -1</f>
        <v>3.474608415</v>
      </c>
      <c r="T36" s="32">
        <f t="shared" si="7"/>
        <v>0.07238767532</v>
      </c>
    </row>
    <row r="37">
      <c r="B37" s="6">
        <v>7.0</v>
      </c>
      <c r="C37" s="33">
        <f>B37*E11</f>
        <v>525</v>
      </c>
      <c r="D37" s="30">
        <f t="shared" ref="D37:D38" si="8">$E$13</f>
        <v>4000</v>
      </c>
      <c r="E37" s="5">
        <f t="shared" si="4"/>
        <v>2100000</v>
      </c>
      <c r="F37" s="6">
        <v>75.0</v>
      </c>
      <c r="G37" s="5">
        <v>12000.0</v>
      </c>
      <c r="H37" s="31">
        <f>$C$37*G37</f>
        <v>6300000</v>
      </c>
      <c r="I37" s="32">
        <f>H37/$E$37 -1</f>
        <v>2</v>
      </c>
      <c r="J37" s="32">
        <f t="shared" si="5"/>
        <v>0.04166666667</v>
      </c>
      <c r="K37" s="4"/>
      <c r="L37" s="5">
        <v>17315.04</v>
      </c>
      <c r="M37" s="31">
        <f>$C$37*L37</f>
        <v>9090396</v>
      </c>
      <c r="N37" s="32">
        <f>M37/$E$37 -1</f>
        <v>3.32876</v>
      </c>
      <c r="O37" s="32">
        <f t="shared" si="6"/>
        <v>0.06934916667</v>
      </c>
      <c r="P37" s="4"/>
      <c r="Q37" s="5">
        <v>20125.67</v>
      </c>
      <c r="R37" s="31">
        <f>$C$37*Q37</f>
        <v>10565976.75</v>
      </c>
      <c r="S37" s="32">
        <f>R37/$E$37 -1</f>
        <v>4.0314175</v>
      </c>
      <c r="T37" s="32">
        <f t="shared" si="7"/>
        <v>0.08398786458</v>
      </c>
    </row>
    <row r="38">
      <c r="B38" s="6">
        <v>83.333</v>
      </c>
      <c r="C38" s="34">
        <f>B38*E11</f>
        <v>6249.975</v>
      </c>
      <c r="D38" s="30">
        <f t="shared" si="8"/>
        <v>4000</v>
      </c>
      <c r="E38" s="5">
        <f t="shared" si="4"/>
        <v>24999900</v>
      </c>
      <c r="F38" s="6">
        <v>75.0</v>
      </c>
      <c r="G38" s="5">
        <v>12000.0</v>
      </c>
      <c r="H38" s="31">
        <f>$C$38*G38</f>
        <v>74999700</v>
      </c>
      <c r="I38" s="32">
        <f>H38/$E$38 -1</f>
        <v>2</v>
      </c>
      <c r="J38" s="32">
        <f t="shared" si="5"/>
        <v>0.04166666667</v>
      </c>
      <c r="K38" s="4"/>
      <c r="L38" s="5">
        <v>17315.04</v>
      </c>
      <c r="M38" s="31">
        <f>$C$38*L38</f>
        <v>108218567.1</v>
      </c>
      <c r="N38" s="32">
        <f>M38/$E$38 -1</f>
        <v>3.32876</v>
      </c>
      <c r="O38" s="32">
        <f t="shared" si="6"/>
        <v>0.06934916667</v>
      </c>
      <c r="P38" s="4"/>
      <c r="Q38" s="5">
        <v>20125.67</v>
      </c>
      <c r="R38" s="31">
        <f>$C$38*Q38</f>
        <v>125784934.4</v>
      </c>
      <c r="S38" s="32">
        <f>R38/$E$38 -1</f>
        <v>4.0314175</v>
      </c>
      <c r="T38" s="32">
        <f t="shared" si="7"/>
        <v>0.08398786458</v>
      </c>
    </row>
    <row r="39">
      <c r="C39" s="4"/>
      <c r="D39" s="3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D40" s="30"/>
    </row>
    <row r="42">
      <c r="B42" s="3" t="s">
        <v>25</v>
      </c>
      <c r="C42" s="3" t="s">
        <v>26</v>
      </c>
    </row>
    <row r="43">
      <c r="B43" s="3" t="s">
        <v>27</v>
      </c>
      <c r="C43" s="3">
        <v>0.0</v>
      </c>
    </row>
    <row r="44">
      <c r="B44" s="3" t="s">
        <v>28</v>
      </c>
      <c r="C44" s="3">
        <v>9.06</v>
      </c>
    </row>
    <row r="45">
      <c r="B45" s="3" t="s">
        <v>29</v>
      </c>
      <c r="C45" s="3">
        <v>13.84</v>
      </c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D55" s="3" t="s">
        <v>30</v>
      </c>
    </row>
    <row r="56" ht="29.25" customHeight="1">
      <c r="A56" s="4"/>
      <c r="D56" s="35" t="s">
        <v>11</v>
      </c>
      <c r="E56" s="35" t="s">
        <v>13</v>
      </c>
      <c r="G56" s="26" t="s">
        <v>26</v>
      </c>
      <c r="K56" s="36" t="s">
        <v>31</v>
      </c>
      <c r="O56" s="28" t="s">
        <v>32</v>
      </c>
      <c r="R56" s="4"/>
      <c r="S56" s="4"/>
      <c r="T56" s="4"/>
      <c r="U56" s="4"/>
      <c r="V56" s="4"/>
      <c r="W56" s="4"/>
      <c r="X56" s="4"/>
      <c r="Y56" s="4"/>
      <c r="Z56" s="4"/>
    </row>
    <row r="57" ht="29.25" customHeight="1">
      <c r="A57" s="4"/>
      <c r="G57" s="35" t="s">
        <v>33</v>
      </c>
      <c r="H57" s="35" t="s">
        <v>34</v>
      </c>
      <c r="I57" s="35" t="s">
        <v>35</v>
      </c>
      <c r="K57" s="35" t="s">
        <v>33</v>
      </c>
      <c r="L57" s="35" t="s">
        <v>34</v>
      </c>
      <c r="M57" s="35" t="s">
        <v>35</v>
      </c>
      <c r="O57" s="35" t="s">
        <v>33</v>
      </c>
      <c r="P57" s="35" t="s">
        <v>34</v>
      </c>
      <c r="Q57" s="35" t="s">
        <v>35</v>
      </c>
      <c r="R57" s="4"/>
      <c r="S57" s="4"/>
      <c r="T57" s="4"/>
      <c r="U57" s="4"/>
      <c r="V57" s="4"/>
      <c r="W57" s="4"/>
      <c r="X57" s="4"/>
      <c r="Y57" s="4"/>
      <c r="Z57" s="4"/>
    </row>
    <row r="58">
      <c r="D58" s="37">
        <f t="shared" ref="D58:D61" si="12">B35</f>
        <v>1</v>
      </c>
      <c r="E58" s="38">
        <f t="shared" ref="E58:E61" si="13">E35</f>
        <v>300000</v>
      </c>
      <c r="G58" s="39">
        <f t="shared" ref="G58:I58" si="9">H35</f>
        <v>654813.3327</v>
      </c>
      <c r="H58" s="40">
        <f t="shared" si="9"/>
        <v>1.182711109</v>
      </c>
      <c r="I58" s="40">
        <f t="shared" si="9"/>
        <v>0.02463981477</v>
      </c>
      <c r="K58" s="41">
        <f t="shared" ref="K58:M58" si="10">M35</f>
        <v>944843.2541</v>
      </c>
      <c r="L58" s="42">
        <f t="shared" si="10"/>
        <v>2.149477514</v>
      </c>
      <c r="M58" s="42">
        <f t="shared" si="10"/>
        <v>0.04478078153</v>
      </c>
      <c r="O58" s="43">
        <f t="shared" ref="O58:Q58" si="11">R35</f>
        <v>1098213.087</v>
      </c>
      <c r="P58" s="44">
        <f t="shared" si="11"/>
        <v>2.660710291</v>
      </c>
      <c r="Q58" s="44">
        <f t="shared" si="11"/>
        <v>0.05543146439</v>
      </c>
    </row>
    <row r="59">
      <c r="D59" s="45">
        <f t="shared" si="12"/>
        <v>4</v>
      </c>
      <c r="E59" s="31">
        <f t="shared" si="13"/>
        <v>1200000</v>
      </c>
      <c r="G59" s="39">
        <f t="shared" ref="G59:I59" si="14">H36</f>
        <v>3201600.8</v>
      </c>
      <c r="H59" s="40">
        <f t="shared" si="14"/>
        <v>1.668000667</v>
      </c>
      <c r="I59" s="40">
        <f t="shared" si="14"/>
        <v>0.0347500139</v>
      </c>
      <c r="K59" s="41">
        <f t="shared" ref="K59:M59" si="15">M36</f>
        <v>4619653.827</v>
      </c>
      <c r="L59" s="42">
        <f t="shared" si="15"/>
        <v>2.849711522</v>
      </c>
      <c r="M59" s="42">
        <f t="shared" si="15"/>
        <v>0.05936899005</v>
      </c>
      <c r="O59" s="43">
        <f t="shared" ref="O59:Q59" si="16">R36</f>
        <v>5369530.098</v>
      </c>
      <c r="P59" s="44">
        <f t="shared" si="16"/>
        <v>3.474608415</v>
      </c>
      <c r="Q59" s="44">
        <f t="shared" si="16"/>
        <v>0.07238767532</v>
      </c>
    </row>
    <row r="60">
      <c r="D60" s="46">
        <f t="shared" si="12"/>
        <v>7</v>
      </c>
      <c r="E60" s="47">
        <f t="shared" si="13"/>
        <v>2100000</v>
      </c>
      <c r="G60" s="39">
        <f t="shared" ref="G60:I60" si="17">H37</f>
        <v>6300000</v>
      </c>
      <c r="H60" s="40">
        <f t="shared" si="17"/>
        <v>2</v>
      </c>
      <c r="I60" s="40">
        <f t="shared" si="17"/>
        <v>0.04166666667</v>
      </c>
      <c r="K60" s="41">
        <f t="shared" ref="K60:M60" si="18">M37</f>
        <v>9090396</v>
      </c>
      <c r="L60" s="42">
        <f t="shared" si="18"/>
        <v>3.32876</v>
      </c>
      <c r="M60" s="42">
        <f t="shared" si="18"/>
        <v>0.06934916667</v>
      </c>
      <c r="O60" s="43">
        <f t="shared" ref="O60:Q60" si="19">R37</f>
        <v>10565976.75</v>
      </c>
      <c r="P60" s="44">
        <f t="shared" si="19"/>
        <v>4.0314175</v>
      </c>
      <c r="Q60" s="44">
        <f t="shared" si="19"/>
        <v>0.08398786458</v>
      </c>
    </row>
    <row r="61">
      <c r="D61" s="48">
        <f t="shared" si="12"/>
        <v>83.333</v>
      </c>
      <c r="E61" s="49">
        <f t="shared" si="13"/>
        <v>24999900</v>
      </c>
      <c r="G61" s="39">
        <f t="shared" ref="G61:I61" si="20">H38</f>
        <v>74999700</v>
      </c>
      <c r="H61" s="40">
        <f t="shared" si="20"/>
        <v>2</v>
      </c>
      <c r="I61" s="40">
        <f t="shared" si="20"/>
        <v>0.04166666667</v>
      </c>
      <c r="K61" s="41">
        <f t="shared" ref="K61:M61" si="21">M38</f>
        <v>108218567.1</v>
      </c>
      <c r="L61" s="42">
        <f t="shared" si="21"/>
        <v>3.32876</v>
      </c>
      <c r="M61" s="42">
        <f t="shared" si="21"/>
        <v>0.06934916667</v>
      </c>
      <c r="O61" s="43">
        <f t="shared" ref="O61:Q61" si="22">R38</f>
        <v>125784934.4</v>
      </c>
      <c r="P61" s="44">
        <f t="shared" si="22"/>
        <v>4.0314175</v>
      </c>
      <c r="Q61" s="44">
        <f t="shared" si="22"/>
        <v>0.08398786458</v>
      </c>
    </row>
    <row r="65">
      <c r="B65" s="3" t="s">
        <v>25</v>
      </c>
    </row>
    <row r="66">
      <c r="B66" s="3" t="s">
        <v>27</v>
      </c>
      <c r="C66" s="24">
        <f>G58</f>
        <v>654813.3327</v>
      </c>
    </row>
    <row r="67">
      <c r="B67" s="3" t="s">
        <v>28</v>
      </c>
    </row>
    <row r="68">
      <c r="B68" s="3" t="s">
        <v>29</v>
      </c>
    </row>
  </sheetData>
  <mergeCells count="8">
    <mergeCell ref="G33:J33"/>
    <mergeCell ref="L33:O33"/>
    <mergeCell ref="Q33:T33"/>
    <mergeCell ref="D56:D57"/>
    <mergeCell ref="E56:E57"/>
    <mergeCell ref="G56:I56"/>
    <mergeCell ref="K56:M56"/>
    <mergeCell ref="O56:Q56"/>
  </mergeCells>
  <drawing r:id="rId1"/>
</worksheet>
</file>